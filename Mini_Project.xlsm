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nker\Documents\MyCourse\01_Graduate_USC\00_Course\2017Spring\EE555\"/>
    </mc:Choice>
  </mc:AlternateContent>
  <bookViews>
    <workbookView xWindow="0" yWindow="0" windowWidth="28800" windowHeight="12210" activeTab="1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3" i="2"/>
  <c r="H3" i="1"/>
  <c r="H4" i="1" s="1"/>
  <c r="H6" i="2"/>
  <c r="H7" i="2"/>
  <c r="H5" i="2"/>
  <c r="H5" i="1" l="1"/>
</calcChain>
</file>

<file path=xl/sharedStrings.xml><?xml version="1.0" encoding="utf-8"?>
<sst xmlns="http://schemas.openxmlformats.org/spreadsheetml/2006/main" count="23" uniqueCount="19">
  <si>
    <t>M|M|c|c Queue Calculator</t>
  </si>
  <si>
    <t>Input Parameter</t>
  </si>
  <si>
    <t>Output Parameter</t>
  </si>
  <si>
    <t>Arrival Rate (λ)</t>
  </si>
  <si>
    <t xml:space="preserve">Min Capacity Needed (c ) </t>
  </si>
  <si>
    <t>Serving Rate (μ)</t>
  </si>
  <si>
    <t>Avg. # of Busy Servers</t>
  </si>
  <si>
    <t>Block Probability</t>
  </si>
  <si>
    <t>Avg. # of Packets in System</t>
  </si>
  <si>
    <t>M|M|c Queue Calculator</t>
  </si>
  <si>
    <t>Idle Probabilty (P0)</t>
  </si>
  <si>
    <t>Queuing Probability (Erlang C)</t>
  </si>
  <si>
    <t>Less Than β of All Packets</t>
  </si>
  <si>
    <t>Arrival Rate (λ) (packtes/min)</t>
  </si>
  <si>
    <t>Serving Rate (μ) (packest/min)</t>
  </si>
  <si>
    <t>Should Wait More Than ξ min</t>
  </si>
  <si>
    <t xml:space="preserve">Minimum Capacity Needed (c ) </t>
  </si>
  <si>
    <t>Given wait, Avg. Waiting Time (α) (min)</t>
  </si>
  <si>
    <t>Queuing Probability (Erlang-C) (ε)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</si>
</sst>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charset val="134"/>
      <scheme val="min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8"/>
      <color theme="3"/>
      <name val="Calibri"/>
      <family val="2"/>
      <charset val="134"/>
      <scheme val="minor"/>
    </font>
    <font>
      <sz val="18"/>
      <color theme="1"/>
      <name val="Calibri"/>
      <family val="2"/>
      <charset val="134"/>
      <scheme val="minor"/>
    </font>
    <font>
      <b/>
      <sz val="14"/>
      <color theme="3"/>
      <name val="Calibri"/>
      <family val="2"/>
      <charset val="134"/>
      <scheme val="minor"/>
    </font>
    <font>
      <sz val="14"/>
      <color rgb="FF3F3F76"/>
      <name val="Calibri"/>
      <family val="2"/>
      <charset val="134"/>
      <scheme val="minor"/>
    </font>
    <font>
      <b/>
      <sz val="14"/>
      <color rgb="FF3F3F3F"/>
      <name val="Calibri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2" borderId="4" applyNumberFormat="0" applyAlignment="0" applyProtection="0"/>
    <xf numFmtId="0" fontId="5" fillId="3" borderId="5" applyNumberFormat="0" applyAlignment="0" applyProtection="0"/>
  </cellStyleXfs>
  <cellXfs count="29">
    <xf numFmtId="0" fontId="0" fillId="0" borderId="0" xfId="0"/>
    <xf numFmtId="0" fontId="7" fillId="0" borderId="0" xfId="0" applyFont="1" applyAlignment="1">
      <alignment horizontal="center" vertical="center"/>
    </xf>
    <xf numFmtId="0" fontId="9" fillId="4" borderId="7" xfId="4" applyFont="1" applyFill="1" applyBorder="1" applyAlignment="1">
      <alignment horizontal="center" vertical="center"/>
    </xf>
    <xf numFmtId="0" fontId="9" fillId="4" borderId="7" xfId="4" applyNumberFormat="1" applyFont="1" applyFill="1" applyBorder="1" applyAlignment="1">
      <alignment horizontal="center" vertical="center"/>
    </xf>
    <xf numFmtId="0" fontId="9" fillId="4" borderId="10" xfId="4" applyNumberFormat="1" applyFont="1" applyFill="1" applyBorder="1" applyAlignment="1">
      <alignment horizontal="center" vertical="center"/>
    </xf>
    <xf numFmtId="10" fontId="9" fillId="4" borderId="7" xfId="4" applyNumberFormat="1" applyFont="1" applyFill="1" applyBorder="1" applyAlignment="1">
      <alignment horizontal="center" vertical="center"/>
    </xf>
    <xf numFmtId="0" fontId="10" fillId="5" borderId="11" xfId="5" applyFont="1" applyFill="1" applyBorder="1" applyAlignment="1">
      <alignment horizontal="center" vertical="center"/>
    </xf>
    <xf numFmtId="0" fontId="10" fillId="5" borderId="12" xfId="5" applyFont="1" applyFill="1" applyBorder="1" applyAlignment="1">
      <alignment horizontal="center" vertical="center"/>
    </xf>
    <xf numFmtId="11" fontId="9" fillId="4" borderId="10" xfId="4" applyNumberFormat="1" applyFont="1" applyFill="1" applyBorder="1" applyAlignment="1">
      <alignment horizontal="center" vertical="center"/>
    </xf>
    <xf numFmtId="0" fontId="6" fillId="0" borderId="13" xfId="1" applyFont="1" applyBorder="1" applyAlignment="1">
      <alignment horizontal="center" vertical="center"/>
    </xf>
    <xf numFmtId="0" fontId="6" fillId="0" borderId="14" xfId="1" applyFont="1" applyBorder="1" applyAlignment="1">
      <alignment horizontal="center" vertical="center"/>
    </xf>
    <xf numFmtId="0" fontId="6" fillId="0" borderId="15" xfId="1" applyFont="1" applyBorder="1" applyAlignment="1">
      <alignment horizontal="center" vertical="center"/>
    </xf>
    <xf numFmtId="0" fontId="8" fillId="4" borderId="6" xfId="3" applyFont="1" applyFill="1" applyBorder="1" applyAlignment="1">
      <alignment horizontal="center" vertical="center"/>
    </xf>
    <xf numFmtId="0" fontId="8" fillId="4" borderId="3" xfId="3" applyFont="1" applyFill="1" applyBorder="1" applyAlignment="1">
      <alignment horizontal="center" vertical="center"/>
    </xf>
    <xf numFmtId="0" fontId="8" fillId="4" borderId="8" xfId="3" applyFont="1" applyFill="1" applyBorder="1" applyAlignment="1">
      <alignment horizontal="center" vertical="center"/>
    </xf>
    <xf numFmtId="0" fontId="8" fillId="4" borderId="9" xfId="3" applyFont="1" applyFill="1" applyBorder="1" applyAlignment="1">
      <alignment horizontal="center" vertical="center"/>
    </xf>
    <xf numFmtId="0" fontId="8" fillId="5" borderId="6" xfId="3" applyFont="1" applyFill="1" applyBorder="1" applyAlignment="1">
      <alignment horizontal="center" vertical="center"/>
    </xf>
    <xf numFmtId="0" fontId="8" fillId="5" borderId="3" xfId="3" applyFont="1" applyFill="1" applyBorder="1" applyAlignment="1">
      <alignment horizontal="center" vertical="center"/>
    </xf>
    <xf numFmtId="0" fontId="8" fillId="5" borderId="8" xfId="3" applyFont="1" applyFill="1" applyBorder="1" applyAlignment="1">
      <alignment horizontal="center" vertical="center"/>
    </xf>
    <xf numFmtId="0" fontId="8" fillId="5" borderId="9" xfId="3" applyFont="1" applyFill="1" applyBorder="1" applyAlignment="1">
      <alignment horizontal="center" vertical="center"/>
    </xf>
    <xf numFmtId="0" fontId="9" fillId="4" borderId="16" xfId="4" applyNumberFormat="1" applyFont="1" applyFill="1" applyBorder="1" applyAlignment="1">
      <alignment horizontal="center" vertical="center"/>
    </xf>
    <xf numFmtId="0" fontId="10" fillId="5" borderId="17" xfId="5" applyFont="1" applyFill="1" applyBorder="1" applyAlignment="1">
      <alignment horizontal="center" vertical="center"/>
    </xf>
    <xf numFmtId="0" fontId="8" fillId="4" borderId="13" xfId="2" applyFont="1" applyFill="1" applyBorder="1" applyAlignment="1">
      <alignment horizontal="center" vertical="center"/>
    </xf>
    <xf numFmtId="0" fontId="8" fillId="4" borderId="14" xfId="2" applyFont="1" applyFill="1" applyBorder="1" applyAlignment="1">
      <alignment horizontal="center" vertical="center"/>
    </xf>
    <xf numFmtId="0" fontId="8" fillId="4" borderId="15" xfId="2" applyFont="1" applyFill="1" applyBorder="1" applyAlignment="1">
      <alignment horizontal="center" vertical="center"/>
    </xf>
    <xf numFmtId="0" fontId="8" fillId="5" borderId="13" xfId="2" applyFont="1" applyFill="1" applyBorder="1" applyAlignment="1">
      <alignment horizontal="center" vertical="center"/>
    </xf>
    <xf numFmtId="0" fontId="8" fillId="5" borderId="14" xfId="2" applyFont="1" applyFill="1" applyBorder="1" applyAlignment="1">
      <alignment horizontal="center" vertical="center"/>
    </xf>
    <xf numFmtId="0" fontId="8" fillId="5" borderId="15" xfId="2" applyFont="1" applyFill="1" applyBorder="1" applyAlignment="1">
      <alignment horizontal="center" vertical="center"/>
    </xf>
    <xf numFmtId="0" fontId="9" fillId="4" borderId="16" xfId="4" applyFont="1" applyFill="1" applyBorder="1" applyAlignment="1">
      <alignment horizontal="center" vertical="center"/>
    </xf>
  </cellXfs>
  <cellStyles count="6">
    <cellStyle name="Heading 1" xfId="1" builtinId="16"/>
    <cellStyle name="Heading 2" xfId="2" builtinId="17"/>
    <cellStyle name="Heading 3" xfId="3" builtinId="18"/>
    <cellStyle name="Input" xfId="4" builtinId="20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"/>
  <sheetViews>
    <sheetView workbookViewId="0">
      <selection activeCell="A2" sqref="A2:H2"/>
    </sheetView>
  </sheetViews>
  <sheetFormatPr defaultRowHeight="15"/>
  <cols>
    <col min="1" max="8" width="15.7109375" customWidth="1"/>
  </cols>
  <sheetData>
    <row r="1" spans="1:8" ht="24" thickBot="1">
      <c r="A1" s="9" t="s">
        <v>0</v>
      </c>
      <c r="B1" s="10"/>
      <c r="C1" s="10"/>
      <c r="D1" s="10"/>
      <c r="E1" s="10"/>
      <c r="F1" s="10"/>
      <c r="G1" s="10"/>
      <c r="H1" s="11"/>
    </row>
    <row r="2" spans="1:8" ht="19.5" thickBot="1">
      <c r="A2" s="22" t="s">
        <v>1</v>
      </c>
      <c r="B2" s="23"/>
      <c r="C2" s="23"/>
      <c r="D2" s="24"/>
      <c r="E2" s="25" t="s">
        <v>2</v>
      </c>
      <c r="F2" s="26"/>
      <c r="G2" s="26"/>
      <c r="H2" s="27"/>
    </row>
    <row r="3" spans="1:8" ht="19.5" thickBot="1">
      <c r="A3" s="12" t="s">
        <v>3</v>
      </c>
      <c r="B3" s="13"/>
      <c r="C3" s="13"/>
      <c r="D3" s="28">
        <v>15</v>
      </c>
      <c r="E3" s="16" t="s">
        <v>4</v>
      </c>
      <c r="F3" s="17"/>
      <c r="G3" s="17"/>
      <c r="H3" s="21">
        <f>MMcc_getCapacity(D3,D4,D5)</f>
        <v>25</v>
      </c>
    </row>
    <row r="4" spans="1:8" ht="19.5" thickBot="1">
      <c r="A4" s="12" t="s">
        <v>5</v>
      </c>
      <c r="B4" s="13"/>
      <c r="C4" s="13"/>
      <c r="D4" s="2">
        <v>1</v>
      </c>
      <c r="E4" s="16" t="s">
        <v>6</v>
      </c>
      <c r="F4" s="17"/>
      <c r="G4" s="17"/>
      <c r="H4" s="6">
        <f>MMcc_BusyServer(D3,D4,H3)</f>
        <v>14.924836977028507</v>
      </c>
    </row>
    <row r="5" spans="1:8" ht="19.5" thickBot="1">
      <c r="A5" s="14" t="s">
        <v>7</v>
      </c>
      <c r="B5" s="15"/>
      <c r="C5" s="15"/>
      <c r="D5" s="8">
        <v>8.2935057478599992E-3</v>
      </c>
      <c r="E5" s="18" t="s">
        <v>8</v>
      </c>
      <c r="F5" s="19"/>
      <c r="G5" s="19"/>
      <c r="H5" s="7">
        <f>H4</f>
        <v>14.924836977028507</v>
      </c>
    </row>
  </sheetData>
  <mergeCells count="9">
    <mergeCell ref="A1:H1"/>
    <mergeCell ref="A3:C3"/>
    <mergeCell ref="A4:C4"/>
    <mergeCell ref="A5:C5"/>
    <mergeCell ref="A2:D2"/>
    <mergeCell ref="E2:H2"/>
    <mergeCell ref="E3:G3"/>
    <mergeCell ref="E4:G4"/>
    <mergeCell ref="E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tabSelected="1" workbookViewId="0">
      <selection activeCell="D3" sqref="D3"/>
    </sheetView>
  </sheetViews>
  <sheetFormatPr defaultRowHeight="15"/>
  <cols>
    <col min="1" max="8" width="15.7109375" customWidth="1"/>
  </cols>
  <sheetData>
    <row r="1" spans="1:8" ht="24" thickBot="1">
      <c r="A1" s="9" t="s">
        <v>9</v>
      </c>
      <c r="B1" s="10"/>
      <c r="C1" s="10"/>
      <c r="D1" s="10"/>
      <c r="E1" s="10"/>
      <c r="F1" s="10"/>
      <c r="G1" s="10"/>
      <c r="H1" s="11"/>
    </row>
    <row r="2" spans="1:8" ht="19.5" thickBot="1">
      <c r="A2" s="22" t="s">
        <v>1</v>
      </c>
      <c r="B2" s="23"/>
      <c r="C2" s="23"/>
      <c r="D2" s="24"/>
      <c r="E2" s="25" t="s">
        <v>2</v>
      </c>
      <c r="F2" s="26"/>
      <c r="G2" s="26"/>
      <c r="H2" s="27"/>
    </row>
    <row r="3" spans="1:8" ht="19.5" thickBot="1">
      <c r="A3" s="12" t="s">
        <v>13</v>
      </c>
      <c r="B3" s="13"/>
      <c r="C3" s="13"/>
      <c r="D3" s="20">
        <v>3</v>
      </c>
      <c r="E3" s="16" t="s">
        <v>16</v>
      </c>
      <c r="F3" s="17"/>
      <c r="G3" s="17"/>
      <c r="H3" s="21">
        <f>MMc_getCapacity(D3,D4,D5,D6,D7,D8)</f>
        <v>6</v>
      </c>
    </row>
    <row r="4" spans="1:8" ht="19.5" thickBot="1">
      <c r="A4" s="12" t="s">
        <v>14</v>
      </c>
      <c r="B4" s="13"/>
      <c r="C4" s="13"/>
      <c r="D4" s="3">
        <v>3</v>
      </c>
      <c r="E4" s="16" t="s">
        <v>6</v>
      </c>
      <c r="F4" s="17"/>
      <c r="G4" s="17"/>
      <c r="H4" s="6">
        <f>MMc_BusyServer(D3,D4)</f>
        <v>1</v>
      </c>
    </row>
    <row r="5" spans="1:8" ht="19.5" thickBot="1">
      <c r="A5" s="12" t="s">
        <v>18</v>
      </c>
      <c r="B5" s="13"/>
      <c r="C5" s="13"/>
      <c r="D5" s="3">
        <v>0.2</v>
      </c>
      <c r="E5" s="16" t="s">
        <v>8</v>
      </c>
      <c r="F5" s="17"/>
      <c r="G5" s="17"/>
      <c r="H5" s="6">
        <f>MMc_AvgPacket(D3,D4,H3,H6,H7)</f>
        <v>1.000122624156959</v>
      </c>
    </row>
    <row r="6" spans="1:8" ht="19.5" thickBot="1">
      <c r="A6" s="12" t="s">
        <v>17</v>
      </c>
      <c r="B6" s="13"/>
      <c r="C6" s="13"/>
      <c r="D6" s="3">
        <v>0.49</v>
      </c>
      <c r="E6" s="16" t="s">
        <v>10</v>
      </c>
      <c r="F6" s="17"/>
      <c r="G6" s="17"/>
      <c r="H6" s="6">
        <f>MMc_getP0(D3,D4,H3)</f>
        <v>0.36787247087676272</v>
      </c>
    </row>
    <row r="7" spans="1:8" ht="19.5" thickBot="1">
      <c r="A7" s="12" t="s">
        <v>12</v>
      </c>
      <c r="B7" s="13"/>
      <c r="C7" s="13"/>
      <c r="D7" s="5">
        <v>1E-3</v>
      </c>
      <c r="E7" s="18" t="s">
        <v>11</v>
      </c>
      <c r="F7" s="19"/>
      <c r="G7" s="19"/>
      <c r="H7" s="7">
        <f>MMc_ErlangC(D3,D4,H3,H6)</f>
        <v>6.131207847946045E-4</v>
      </c>
    </row>
    <row r="8" spans="1:8" ht="24" thickBot="1">
      <c r="A8" s="14" t="s">
        <v>15</v>
      </c>
      <c r="B8" s="15"/>
      <c r="C8" s="15"/>
      <c r="D8" s="4">
        <v>1E-3</v>
      </c>
      <c r="E8" s="1"/>
      <c r="F8" s="1"/>
      <c r="G8" s="1"/>
      <c r="H8" s="1"/>
    </row>
  </sheetData>
  <mergeCells count="14">
    <mergeCell ref="A5:C5"/>
    <mergeCell ref="A6:C6"/>
    <mergeCell ref="A7:C7"/>
    <mergeCell ref="A8:C8"/>
    <mergeCell ref="E3:G3"/>
    <mergeCell ref="E4:G4"/>
    <mergeCell ref="E5:G5"/>
    <mergeCell ref="E6:G6"/>
    <mergeCell ref="E7:G7"/>
    <mergeCell ref="A2:D2"/>
    <mergeCell ref="E2:H2"/>
    <mergeCell ref="A1:H1"/>
    <mergeCell ref="A3:C3"/>
    <mergeCell ref="A4:C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 Zheng</dc:creator>
  <cp:lastModifiedBy>Han Zheng</cp:lastModifiedBy>
  <dcterms:created xsi:type="dcterms:W3CDTF">2017-02-03T07:08:05Z</dcterms:created>
  <dcterms:modified xsi:type="dcterms:W3CDTF">2017-02-04T08:06:39Z</dcterms:modified>
</cp:coreProperties>
</file>